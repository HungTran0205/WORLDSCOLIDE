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C\WORLDSCOLIDE\docs\feature\"/>
    </mc:Choice>
  </mc:AlternateContent>
  <xr:revisionPtr revIDLastSave="0" documentId="13_ncr:1_{224F6D04-9F3D-4AC3-A889-70A3099A4D0C}" xr6:coauthVersionLast="47" xr6:coauthVersionMax="47" xr10:uidLastSave="{00000000-0000-0000-0000-000000000000}"/>
  <bookViews>
    <workbookView xWindow="-120" yWindow="-120" windowWidth="38640" windowHeight="21390" xr2:uid="{126CF19B-DE03-4BC5-A902-1F108B4FCCAA}"/>
  </bookViews>
  <sheets>
    <sheet name="economy-calculator-fix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1" l="1"/>
  <c r="H21" i="1"/>
  <c r="H19" i="1"/>
  <c r="C2" i="1"/>
  <c r="D2" i="1"/>
  <c r="E2" i="1"/>
  <c r="F2" i="1"/>
  <c r="G2" i="1"/>
  <c r="H2" i="1"/>
  <c r="I2" i="1"/>
  <c r="J2" i="1"/>
  <c r="K2" i="1"/>
  <c r="B2" i="1"/>
  <c r="C20" i="1"/>
  <c r="D20" i="1" s="1"/>
  <c r="C21" i="1"/>
  <c r="D21" i="1" s="1"/>
  <c r="C19" i="1"/>
  <c r="D19" i="1" s="1"/>
  <c r="B12" i="1"/>
  <c r="C12" i="1"/>
  <c r="D12" i="1"/>
  <c r="E12" i="1"/>
  <c r="F12" i="1"/>
  <c r="G12" i="1"/>
  <c r="H12" i="1"/>
  <c r="I12" i="1"/>
  <c r="B41" i="1"/>
  <c r="C25" i="1"/>
  <c r="D25" i="1"/>
  <c r="E25" i="1"/>
  <c r="C26" i="1"/>
  <c r="B40" i="1" s="1"/>
  <c r="D26" i="1"/>
  <c r="E26" i="1"/>
  <c r="C27" i="1"/>
  <c r="D27" i="1"/>
  <c r="E27" i="1"/>
  <c r="C28" i="1"/>
  <c r="D28" i="1"/>
  <c r="E28" i="1"/>
  <c r="C40" i="1"/>
  <c r="D40" i="1"/>
  <c r="F52" i="1" s="1"/>
  <c r="E40" i="1"/>
  <c r="C41" i="1"/>
  <c r="B42" i="1"/>
  <c r="C42" i="1"/>
  <c r="E41" i="1" l="1"/>
  <c r="C15" i="1"/>
  <c r="D15" i="1" s="1"/>
  <c r="E15" i="1" s="1"/>
  <c r="F15" i="1" s="1"/>
  <c r="G15" i="1" s="1"/>
  <c r="H15" i="1" s="1"/>
  <c r="I15" i="1" s="1"/>
  <c r="E21" i="1" s="1"/>
  <c r="F21" i="1" s="1"/>
  <c r="B14" i="1"/>
  <c r="D41" i="1"/>
  <c r="E42" i="1" s="1"/>
  <c r="B15" i="1"/>
  <c r="C14" i="1"/>
  <c r="D14" i="1" s="1"/>
  <c r="E14" i="1" s="1"/>
  <c r="F14" i="1" s="1"/>
  <c r="G14" i="1" s="1"/>
  <c r="H14" i="1" s="1"/>
  <c r="I14" i="1" s="1"/>
  <c r="E20" i="1" s="1"/>
  <c r="F20" i="1" s="1"/>
  <c r="B13" i="1"/>
  <c r="C13" i="1"/>
  <c r="D13" i="1" s="1"/>
  <c r="E13" i="1" s="1"/>
  <c r="F13" i="1" s="1"/>
  <c r="G13" i="1" s="1"/>
  <c r="H13" i="1" s="1"/>
  <c r="I13" i="1" s="1"/>
  <c r="E19" i="1" s="1"/>
  <c r="F19" i="1" s="1"/>
  <c r="D42" i="1"/>
  <c r="F56" i="1"/>
  <c r="F55" i="1"/>
  <c r="F54" i="1"/>
  <c r="F53" i="1"/>
</calcChain>
</file>

<file path=xl/sharedStrings.xml><?xml version="1.0" encoding="utf-8"?>
<sst xmlns="http://schemas.openxmlformats.org/spreadsheetml/2006/main" count="95" uniqueCount="83">
  <si>
    <t>Easy</t>
  </si>
  <si>
    <t>ROOM UPGRADES (0-5)</t>
  </si>
  <si>
    <t>Wood Extraction Tier</t>
  </si>
  <si>
    <t>Stone Mining Tier</t>
  </si>
  <si>
    <t>Magic Extraction Tier</t>
  </si>
  <si>
    <t>Workshop Tier</t>
  </si>
  <si>
    <t>Alchemy Tier</t>
  </si>
  <si>
    <t>MEMBER ASSIGNMENTS</t>
  </si>
  <si>
    <t>Wood Extraction Members</t>
  </si>
  <si>
    <t>Stone Mining Members</t>
  </si>
  <si>
    <t>Magic Extraction Members</t>
  </si>
  <si>
    <t>PRODUCTION CALCULATIONS (per hour)</t>
  </si>
  <si>
    <t>Resource</t>
  </si>
  <si>
    <t>Base Rate</t>
  </si>
  <si>
    <t>Upgrade Multiplier</t>
  </si>
  <si>
    <t>Effective Rate</t>
  </si>
  <si>
    <t>Members</t>
  </si>
  <si>
    <t>Units</t>
  </si>
  <si>
    <t>Wood</t>
  </si>
  <si>
    <t>Stone</t>
  </si>
  <si>
    <t>Magic Items</t>
  </si>
  <si>
    <t>ORE CONVERSION RATES</t>
  </si>
  <si>
    <t>Difficulty</t>
  </si>
  <si>
    <t>Conversion Rate</t>
  </si>
  <si>
    <t>Iron Ore</t>
  </si>
  <si>
    <t>Crystal</t>
  </si>
  <si>
    <t>Rare Ore</t>
  </si>
  <si>
    <t>Easy/Normal</t>
  </si>
  <si>
    <t>Hard</t>
  </si>
  <si>
    <t>Very Hard</t>
  </si>
  <si>
    <t>Nightmare</t>
  </si>
  <si>
    <t>CONSUMPTION RATES (per hour)</t>
  </si>
  <si>
    <t>Ore Demand</t>
  </si>
  <si>
    <t>Normal</t>
  </si>
  <si>
    <t>ECONOMIC ANALYSIS</t>
  </si>
  <si>
    <t>Production</t>
  </si>
  <si>
    <t>Consumption</t>
  </si>
  <si>
    <t>Surplus/Deficit</t>
  </si>
  <si>
    <t>Status</t>
  </si>
  <si>
    <t>SPECIALIZATION IMPACT</t>
  </si>
  <si>
    <t>Specialization</t>
  </si>
  <si>
    <t>Extra Slots</t>
  </si>
  <si>
    <t>Production Bonus</t>
  </si>
  <si>
    <t>Cost Reduction</t>
  </si>
  <si>
    <t>Armory Master</t>
  </si>
  <si>
    <t>+1 Workshop, +1 Mine</t>
  </si>
  <si>
    <t>+15% Workshop</t>
  </si>
  <si>
    <t>-20% Workshop upgrades</t>
  </si>
  <si>
    <t>Potion Master</t>
  </si>
  <si>
    <t>+2 Alchemy, +1 Magic</t>
  </si>
  <si>
    <t>+20% Alchemy</t>
  </si>
  <si>
    <t>-30% Alchemy upgrades</t>
  </si>
  <si>
    <t>Generalist</t>
  </si>
  <si>
    <t>None</t>
  </si>
  <si>
    <t>SCENARIO ANALYSIS</t>
  </si>
  <si>
    <t>Scenario</t>
  </si>
  <si>
    <t>Wood Tier</t>
  </si>
  <si>
    <t>Stone Tier</t>
  </si>
  <si>
    <t>Magic Tier</t>
  </si>
  <si>
    <t>Members Total</t>
  </si>
  <si>
    <t>Net Position</t>
  </si>
  <si>
    <t>Base Setup</t>
  </si>
  <si>
    <t>Balanced Upgrade</t>
  </si>
  <si>
    <t>Armory Focus</t>
  </si>
  <si>
    <t>Potion Focus</t>
  </si>
  <si>
    <t>Max Upgrade</t>
  </si>
  <si>
    <t>Tier 1</t>
  </si>
  <si>
    <t>Tier 2</t>
  </si>
  <si>
    <t>Tier 3</t>
  </si>
  <si>
    <t>Tier 4</t>
  </si>
  <si>
    <t>Tier 5</t>
  </si>
  <si>
    <t>wood/min</t>
  </si>
  <si>
    <t>Total Cumulative Efficiency</t>
  </si>
  <si>
    <t>Chọn  tier upgrade</t>
  </si>
  <si>
    <t>Chọn số member</t>
  </si>
  <si>
    <t>stone/min</t>
  </si>
  <si>
    <t>items/min</t>
  </si>
  <si>
    <t>Ý Nghĩa của 0.8
0.8 = Mỗi thành viên mới chỉ được 80% hiệu suất của thành viên trước đó</t>
  </si>
  <si>
    <t>Scaling Factor</t>
  </si>
  <si>
    <t>Total stats</t>
  </si>
  <si>
    <t>Total Production before member stast</t>
  </si>
  <si>
    <t>Member Stats Scaling Factor</t>
  </si>
  <si>
    <t>Final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</si>
</sst>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0" fillId="33" borderId="10" xfId="0" applyFill="1" applyBorder="1" applyAlignment="1">
      <alignment horizontal="left" vertical="top"/>
    </xf>
    <xf numFmtId="0" fontId="0" fillId="33" borderId="10" xfId="0" applyFont="1" applyFill="1" applyBorder="1" applyAlignment="1">
      <alignment horizontal="left" vertical="top"/>
    </xf>
    <xf numFmtId="0" fontId="19" fillId="33" borderId="10" xfId="0" applyFont="1" applyFill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E69E-64D3-4E83-A84A-227AF999B9CD}">
  <dimension ref="A1:K56"/>
  <sheetViews>
    <sheetView tabSelected="1" workbookViewId="0">
      <selection activeCell="P28" sqref="P28"/>
    </sheetView>
  </sheetViews>
  <sheetFormatPr defaultRowHeight="15" x14ac:dyDescent="0.25"/>
  <cols>
    <col min="1" max="1" width="21.140625" style="1" customWidth="1"/>
    <col min="2" max="2" width="12" style="1" bestFit="1" customWidth="1"/>
    <col min="3" max="3" width="17.5703125" style="1" bestFit="1" customWidth="1"/>
    <col min="4" max="4" width="13.5703125" style="1" customWidth="1"/>
    <col min="5" max="5" width="16" style="1" bestFit="1" customWidth="1"/>
    <col min="6" max="6" width="34.85546875" style="1" bestFit="1" customWidth="1"/>
    <col min="7" max="7" width="26.28515625" style="1" bestFit="1" customWidth="1"/>
    <col min="8" max="8" width="15.7109375" style="1" bestFit="1" customWidth="1"/>
    <col min="9" max="9" width="9.140625" style="1"/>
    <col min="10" max="10" width="40.5703125" style="1" customWidth="1"/>
    <col min="11" max="16384" width="9.140625" style="1"/>
  </cols>
  <sheetData>
    <row r="1" spans="1:11" x14ac:dyDescent="0.25">
      <c r="A1" s="6" t="s">
        <v>79</v>
      </c>
      <c r="B1" s="6">
        <v>10</v>
      </c>
      <c r="C1" s="6">
        <v>20</v>
      </c>
      <c r="D1" s="6">
        <v>50</v>
      </c>
      <c r="E1" s="6">
        <v>100</v>
      </c>
      <c r="F1" s="6">
        <v>150</v>
      </c>
      <c r="G1" s="6">
        <v>200</v>
      </c>
      <c r="H1" s="6">
        <v>250</v>
      </c>
      <c r="I1" s="6">
        <v>300</v>
      </c>
      <c r="J1" s="6">
        <v>350</v>
      </c>
      <c r="K1" s="6">
        <v>400</v>
      </c>
    </row>
    <row r="2" spans="1:11" ht="14.25" customHeight="1" x14ac:dyDescent="0.25">
      <c r="A2" s="6" t="s">
        <v>78</v>
      </c>
      <c r="B2" s="6">
        <f xml:space="preserve"> 1 + 1.5 * (B1 / 400)</f>
        <v>1.0375000000000001</v>
      </c>
      <c r="C2" s="6">
        <f t="shared" ref="C2:K2" si="0" xml:space="preserve"> 1 + 1.5 * (C1 / 400)</f>
        <v>1.075</v>
      </c>
      <c r="D2" s="6">
        <f t="shared" si="0"/>
        <v>1.1875</v>
      </c>
      <c r="E2" s="6">
        <f t="shared" si="0"/>
        <v>1.375</v>
      </c>
      <c r="F2" s="6">
        <f t="shared" si="0"/>
        <v>1.5625</v>
      </c>
      <c r="G2" s="6">
        <f t="shared" si="0"/>
        <v>1.75</v>
      </c>
      <c r="H2" s="6">
        <f t="shared" si="0"/>
        <v>1.9375</v>
      </c>
      <c r="I2" s="6">
        <f t="shared" si="0"/>
        <v>2.125</v>
      </c>
      <c r="J2" s="6">
        <f t="shared" si="0"/>
        <v>2.3125</v>
      </c>
      <c r="K2" s="6">
        <f t="shared" si="0"/>
        <v>2.5</v>
      </c>
    </row>
    <row r="4" spans="1:11" x14ac:dyDescent="0.25">
      <c r="A4" s="4" t="s">
        <v>1</v>
      </c>
      <c r="B4" s="4"/>
      <c r="C4" s="4" t="s">
        <v>66</v>
      </c>
      <c r="D4" s="5" t="s">
        <v>67</v>
      </c>
      <c r="E4" s="4" t="s">
        <v>68</v>
      </c>
      <c r="F4" s="4" t="s">
        <v>69</v>
      </c>
      <c r="G4" s="4" t="s">
        <v>70</v>
      </c>
    </row>
    <row r="5" spans="1:11" x14ac:dyDescent="0.25">
      <c r="A5" s="4" t="s">
        <v>2</v>
      </c>
      <c r="B5" s="4">
        <v>1</v>
      </c>
      <c r="C5" s="4">
        <v>1.5</v>
      </c>
      <c r="D5" s="4">
        <v>2.25</v>
      </c>
      <c r="E5" s="4">
        <v>3.375</v>
      </c>
      <c r="F5" s="4">
        <v>5.0625</v>
      </c>
      <c r="G5" s="4">
        <v>7.59375</v>
      </c>
    </row>
    <row r="6" spans="1:11" x14ac:dyDescent="0.25">
      <c r="A6" s="4" t="s">
        <v>3</v>
      </c>
      <c r="B6" s="4">
        <v>1</v>
      </c>
      <c r="C6" s="4">
        <v>1.5</v>
      </c>
      <c r="D6" s="4">
        <v>2.25</v>
      </c>
      <c r="E6" s="4">
        <v>3.375</v>
      </c>
      <c r="F6" s="4">
        <v>5.0625</v>
      </c>
      <c r="G6" s="4">
        <v>7.59375</v>
      </c>
    </row>
    <row r="7" spans="1:11" x14ac:dyDescent="0.25">
      <c r="A7" s="4" t="s">
        <v>4</v>
      </c>
      <c r="B7" s="4">
        <v>1</v>
      </c>
      <c r="C7" s="4">
        <v>1.5</v>
      </c>
      <c r="D7" s="4">
        <v>2.25</v>
      </c>
      <c r="E7" s="4">
        <v>3.375</v>
      </c>
      <c r="F7" s="4">
        <v>5.0625</v>
      </c>
      <c r="G7" s="4">
        <v>7.59375</v>
      </c>
    </row>
    <row r="8" spans="1:11" x14ac:dyDescent="0.25">
      <c r="A8" s="4" t="s">
        <v>5</v>
      </c>
      <c r="B8" s="4">
        <v>1</v>
      </c>
      <c r="C8" s="4">
        <v>1.5</v>
      </c>
      <c r="D8" s="4">
        <v>2.25</v>
      </c>
      <c r="E8" s="4">
        <v>3.375</v>
      </c>
      <c r="F8" s="4">
        <v>5.0625</v>
      </c>
      <c r="G8" s="4">
        <v>7.59375</v>
      </c>
    </row>
    <row r="9" spans="1:11" x14ac:dyDescent="0.25">
      <c r="A9" s="4" t="s">
        <v>6</v>
      </c>
      <c r="B9" s="4">
        <v>1</v>
      </c>
      <c r="C9" s="4">
        <v>1.5</v>
      </c>
      <c r="D9" s="4">
        <v>2.25</v>
      </c>
      <c r="E9" s="4">
        <v>3.375</v>
      </c>
      <c r="F9" s="4">
        <v>5.0625</v>
      </c>
      <c r="G9" s="4">
        <v>7.59375</v>
      </c>
    </row>
    <row r="11" spans="1:11" ht="45" x14ac:dyDescent="0.25">
      <c r="A11" s="4" t="s">
        <v>7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2" t="s">
        <v>77</v>
      </c>
    </row>
    <row r="12" spans="1:11" x14ac:dyDescent="0.25">
      <c r="A12" s="4" t="s">
        <v>72</v>
      </c>
      <c r="B12" s="4">
        <f>(0.25*(0.8)^(1-1))</f>
        <v>0.25</v>
      </c>
      <c r="C12" s="4">
        <f>(0.25*(0.8)^(2-1))</f>
        <v>0.2</v>
      </c>
      <c r="D12" s="4">
        <f>(0.25*(0.8)^(3-1))</f>
        <v>0.16000000000000003</v>
      </c>
      <c r="E12" s="4">
        <f>(0.25*(0.8)^(4-1))</f>
        <v>0.12800000000000003</v>
      </c>
      <c r="F12" s="4">
        <f>(0.25*(0.8)^(5-1))</f>
        <v>0.10240000000000005</v>
      </c>
      <c r="G12" s="4">
        <f>(0.25*(0.8)^(6-1))</f>
        <v>8.1920000000000048E-2</v>
      </c>
      <c r="H12" s="4">
        <f>(0.25*(0.8)^(7-1))</f>
        <v>6.5536000000000039E-2</v>
      </c>
      <c r="I12" s="4">
        <f>(0.25*(0.8)^(8-1))</f>
        <v>5.2428800000000039E-2</v>
      </c>
    </row>
    <row r="13" spans="1:11" x14ac:dyDescent="0.25">
      <c r="A13" s="4" t="s">
        <v>8</v>
      </c>
      <c r="B13" s="4">
        <f>B12</f>
        <v>0.25</v>
      </c>
      <c r="C13" s="4">
        <f>B12+C12</f>
        <v>0.45</v>
      </c>
      <c r="D13" s="4">
        <f>C13+D12</f>
        <v>0.6100000000000001</v>
      </c>
      <c r="E13" s="4">
        <f t="shared" ref="E13:I13" si="1">D13+E12</f>
        <v>0.7380000000000001</v>
      </c>
      <c r="F13" s="4">
        <f t="shared" si="1"/>
        <v>0.84040000000000015</v>
      </c>
      <c r="G13" s="4">
        <f t="shared" si="1"/>
        <v>0.92232000000000025</v>
      </c>
      <c r="H13" s="4">
        <f t="shared" si="1"/>
        <v>0.98785600000000029</v>
      </c>
      <c r="I13" s="4">
        <f t="shared" si="1"/>
        <v>1.0402848000000002</v>
      </c>
    </row>
    <row r="14" spans="1:11" x14ac:dyDescent="0.25">
      <c r="A14" s="4" t="s">
        <v>9</v>
      </c>
      <c r="B14" s="4">
        <f>B12</f>
        <v>0.25</v>
      </c>
      <c r="C14" s="4">
        <f>B12+C12</f>
        <v>0.45</v>
      </c>
      <c r="D14" s="4">
        <f>C14+D12</f>
        <v>0.6100000000000001</v>
      </c>
      <c r="E14" s="4">
        <f t="shared" ref="E14:I14" si="2">D14+E12</f>
        <v>0.7380000000000001</v>
      </c>
      <c r="F14" s="4">
        <f t="shared" si="2"/>
        <v>0.84040000000000015</v>
      </c>
      <c r="G14" s="4">
        <f t="shared" si="2"/>
        <v>0.92232000000000025</v>
      </c>
      <c r="H14" s="4">
        <f t="shared" si="2"/>
        <v>0.98785600000000029</v>
      </c>
      <c r="I14" s="4">
        <f t="shared" si="2"/>
        <v>1.0402848000000002</v>
      </c>
    </row>
    <row r="15" spans="1:11" x14ac:dyDescent="0.25">
      <c r="A15" s="4" t="s">
        <v>10</v>
      </c>
      <c r="B15" s="4">
        <f>B12</f>
        <v>0.25</v>
      </c>
      <c r="C15" s="4">
        <f>B12+C12</f>
        <v>0.45</v>
      </c>
      <c r="D15" s="4">
        <f>C15+D12</f>
        <v>0.6100000000000001</v>
      </c>
      <c r="E15" s="4">
        <f t="shared" ref="E15:I15" si="3">D15+E12</f>
        <v>0.7380000000000001</v>
      </c>
      <c r="F15" s="4">
        <f t="shared" si="3"/>
        <v>0.84040000000000015</v>
      </c>
      <c r="G15" s="4">
        <f t="shared" si="3"/>
        <v>0.92232000000000025</v>
      </c>
      <c r="H15" s="4">
        <f t="shared" si="3"/>
        <v>0.98785600000000029</v>
      </c>
      <c r="I15" s="4">
        <f t="shared" si="3"/>
        <v>1.0402848000000002</v>
      </c>
    </row>
    <row r="17" spans="1:9" x14ac:dyDescent="0.25">
      <c r="A17" s="4" t="s">
        <v>11</v>
      </c>
      <c r="B17" s="4"/>
      <c r="C17" s="4" t="s">
        <v>73</v>
      </c>
      <c r="D17" s="4"/>
      <c r="E17" s="4" t="s">
        <v>74</v>
      </c>
      <c r="F17" s="4"/>
      <c r="G17" s="4"/>
      <c r="H17" s="4"/>
      <c r="I17" s="4"/>
    </row>
    <row r="18" spans="1:9" x14ac:dyDescent="0.25">
      <c r="A18" s="4" t="s">
        <v>12</v>
      </c>
      <c r="B18" s="4" t="s">
        <v>13</v>
      </c>
      <c r="C18" s="4" t="s">
        <v>14</v>
      </c>
      <c r="D18" s="4" t="s">
        <v>15</v>
      </c>
      <c r="E18" s="4" t="s">
        <v>16</v>
      </c>
      <c r="F18" s="4" t="s">
        <v>80</v>
      </c>
      <c r="G18" s="6" t="s">
        <v>81</v>
      </c>
      <c r="H18" s="4" t="s">
        <v>82</v>
      </c>
      <c r="I18" s="4" t="s">
        <v>17</v>
      </c>
    </row>
    <row r="19" spans="1:9" x14ac:dyDescent="0.25">
      <c r="A19" s="4" t="s">
        <v>18</v>
      </c>
      <c r="B19" s="4">
        <v>10</v>
      </c>
      <c r="C19" s="4">
        <f>G5</f>
        <v>7.59375</v>
      </c>
      <c r="D19" s="4">
        <f>C19*B19</f>
        <v>75.9375</v>
      </c>
      <c r="E19" s="4">
        <f>I13</f>
        <v>1.0402848000000002</v>
      </c>
      <c r="F19" s="4">
        <f>D19*(1+E19)</f>
        <v>154.93412700000002</v>
      </c>
      <c r="G19" s="4">
        <v>2.5</v>
      </c>
      <c r="H19" s="4">
        <f>F19*G19</f>
        <v>387.33531750000003</v>
      </c>
      <c r="I19" s="4" t="s">
        <v>71</v>
      </c>
    </row>
    <row r="20" spans="1:9" x14ac:dyDescent="0.25">
      <c r="A20" s="4" t="s">
        <v>19</v>
      </c>
      <c r="B20" s="4">
        <v>8</v>
      </c>
      <c r="C20" s="4">
        <f t="shared" ref="C20:C21" si="4">G6</f>
        <v>7.59375</v>
      </c>
      <c r="D20" s="4">
        <f t="shared" ref="D20:D21" si="5">C20*B20</f>
        <v>60.75</v>
      </c>
      <c r="E20" s="4">
        <f t="shared" ref="E20:E21" si="6">I14</f>
        <v>1.0402848000000002</v>
      </c>
      <c r="F20" s="4">
        <f t="shared" ref="F20:F21" si="7">D20*(1+E20)</f>
        <v>123.94730160000002</v>
      </c>
      <c r="G20" s="4">
        <v>2.5</v>
      </c>
      <c r="H20" s="4">
        <f t="shared" ref="H20:H21" si="8">F20*G20</f>
        <v>309.86825400000004</v>
      </c>
      <c r="I20" s="4" t="s">
        <v>75</v>
      </c>
    </row>
    <row r="21" spans="1:9" x14ac:dyDescent="0.25">
      <c r="A21" s="4" t="s">
        <v>20</v>
      </c>
      <c r="B21" s="4">
        <v>6</v>
      </c>
      <c r="C21" s="4">
        <f t="shared" si="4"/>
        <v>7.59375</v>
      </c>
      <c r="D21" s="4">
        <f t="shared" si="5"/>
        <v>45.5625</v>
      </c>
      <c r="E21" s="4">
        <f t="shared" si="6"/>
        <v>1.0402848000000002</v>
      </c>
      <c r="F21" s="4">
        <f t="shared" si="7"/>
        <v>92.960476200000016</v>
      </c>
      <c r="G21" s="4">
        <v>2.5</v>
      </c>
      <c r="H21" s="4">
        <f t="shared" si="8"/>
        <v>232.40119050000004</v>
      </c>
      <c r="I21" s="4" t="s">
        <v>76</v>
      </c>
    </row>
    <row r="23" spans="1:9" x14ac:dyDescent="0.25">
      <c r="A23" s="1" t="s">
        <v>21</v>
      </c>
    </row>
    <row r="24" spans="1:9" x14ac:dyDescent="0.25">
      <c r="A24" s="1" t="s">
        <v>22</v>
      </c>
      <c r="B24" s="1" t="s">
        <v>23</v>
      </c>
      <c r="C24" s="1" t="s">
        <v>24</v>
      </c>
      <c r="D24" s="1" t="s">
        <v>25</v>
      </c>
      <c r="E24" s="1" t="s">
        <v>26</v>
      </c>
    </row>
    <row r="25" spans="1:9" x14ac:dyDescent="0.25">
      <c r="A25" s="1" t="s">
        <v>27</v>
      </c>
      <c r="B25" s="3">
        <v>6.5000000000000002E-2</v>
      </c>
      <c r="C25" s="1" t="e">
        <f>F18*B24</f>
        <v>#VALUE!</v>
      </c>
      <c r="D25" s="1" t="e">
        <f>F18*B24*0.3</f>
        <v>#VALUE!</v>
      </c>
      <c r="E25" s="1" t="e">
        <f>F18*B24*0.1</f>
        <v>#VALUE!</v>
      </c>
    </row>
    <row r="26" spans="1:9" x14ac:dyDescent="0.25">
      <c r="A26" s="1" t="s">
        <v>28</v>
      </c>
      <c r="B26" s="3">
        <v>0.125</v>
      </c>
      <c r="C26" s="1" t="e">
        <f>F18*B25</f>
        <v>#VALUE!</v>
      </c>
      <c r="D26" s="1" t="e">
        <f>F18*B25*0.3</f>
        <v>#VALUE!</v>
      </c>
      <c r="E26" s="1" t="e">
        <f>F18*B25*0.1</f>
        <v>#VALUE!</v>
      </c>
    </row>
    <row r="27" spans="1:9" x14ac:dyDescent="0.25">
      <c r="A27" s="1" t="s">
        <v>29</v>
      </c>
      <c r="B27" s="3">
        <v>0.125</v>
      </c>
      <c r="C27" s="1" t="e">
        <f>F18*B25</f>
        <v>#VALUE!</v>
      </c>
      <c r="D27" s="1" t="e">
        <f>F18*B25*0.3</f>
        <v>#VALUE!</v>
      </c>
      <c r="E27" s="1" t="e">
        <f>F18*B25*0.1</f>
        <v>#VALUE!</v>
      </c>
    </row>
    <row r="28" spans="1:9" x14ac:dyDescent="0.25">
      <c r="A28" s="1" t="s">
        <v>30</v>
      </c>
      <c r="B28" s="3">
        <v>0.125</v>
      </c>
      <c r="C28" s="1" t="e">
        <f>F18*B25</f>
        <v>#VALUE!</v>
      </c>
      <c r="D28" s="1" t="e">
        <f>F18*B25*0.3</f>
        <v>#VALUE!</v>
      </c>
      <c r="E28" s="1" t="e">
        <f>F18*B25*0.1</f>
        <v>#VALUE!</v>
      </c>
    </row>
    <row r="30" spans="1:9" x14ac:dyDescent="0.25">
      <c r="A30" s="1" t="s">
        <v>31</v>
      </c>
    </row>
    <row r="31" spans="1:9" x14ac:dyDescent="0.25">
      <c r="A31" s="1" t="s">
        <v>22</v>
      </c>
      <c r="B31" s="1" t="s">
        <v>32</v>
      </c>
      <c r="C31" s="1" t="s">
        <v>20</v>
      </c>
      <c r="D31" s="1" t="s">
        <v>18</v>
      </c>
    </row>
    <row r="32" spans="1:9" x14ac:dyDescent="0.25">
      <c r="A32" s="1" t="s">
        <v>0</v>
      </c>
      <c r="B32" s="1">
        <v>0.33</v>
      </c>
      <c r="C32" s="1">
        <v>0</v>
      </c>
      <c r="D32" s="1">
        <v>0</v>
      </c>
    </row>
    <row r="33" spans="1:5" x14ac:dyDescent="0.25">
      <c r="A33" s="1" t="s">
        <v>33</v>
      </c>
      <c r="B33" s="1">
        <v>11.5</v>
      </c>
      <c r="C33" s="1">
        <v>9</v>
      </c>
      <c r="D33" s="1">
        <v>0</v>
      </c>
    </row>
    <row r="34" spans="1:5" x14ac:dyDescent="0.25">
      <c r="A34" s="1" t="s">
        <v>28</v>
      </c>
      <c r="B34" s="1">
        <v>113.67</v>
      </c>
      <c r="C34" s="1">
        <v>12</v>
      </c>
      <c r="D34" s="1">
        <v>6</v>
      </c>
    </row>
    <row r="35" spans="1:5" x14ac:dyDescent="0.25">
      <c r="A35" s="1" t="s">
        <v>29</v>
      </c>
      <c r="B35" s="1">
        <v>21</v>
      </c>
      <c r="C35" s="1">
        <v>13.5</v>
      </c>
      <c r="D35" s="1">
        <v>9</v>
      </c>
    </row>
    <row r="36" spans="1:5" x14ac:dyDescent="0.25">
      <c r="A36" s="1" t="s">
        <v>30</v>
      </c>
      <c r="B36" s="1">
        <v>35</v>
      </c>
      <c r="C36" s="1">
        <v>15</v>
      </c>
      <c r="D36" s="1">
        <v>15</v>
      </c>
    </row>
    <row r="38" spans="1:5" x14ac:dyDescent="0.25">
      <c r="A38" s="1" t="s">
        <v>34</v>
      </c>
    </row>
    <row r="39" spans="1:5" x14ac:dyDescent="0.25">
      <c r="A39" s="1" t="s">
        <v>12</v>
      </c>
      <c r="B39" s="1" t="s">
        <v>35</v>
      </c>
      <c r="C39" s="1" t="s">
        <v>36</v>
      </c>
      <c r="D39" s="1" t="s">
        <v>37</v>
      </c>
      <c r="E39" s="1" t="s">
        <v>38</v>
      </c>
    </row>
    <row r="40" spans="1:5" x14ac:dyDescent="0.25">
      <c r="A40" s="1" t="s">
        <v>24</v>
      </c>
      <c r="B40" s="1" t="e">
        <f>C26</f>
        <v>#VALUE!</v>
      </c>
      <c r="C40" s="1" t="e">
        <f>VLOOKUP(#REF!,B32:D36,2,FALSE)</f>
        <v>#REF!</v>
      </c>
      <c r="D40" s="1" t="e">
        <f>B39-C39</f>
        <v>#VALUE!</v>
      </c>
      <c r="E40" s="1" t="str">
        <f>IF(D39&gt;0,"SURPLUS","DEFICIT")</f>
        <v>SURPLUS</v>
      </c>
    </row>
    <row r="41" spans="1:5" x14ac:dyDescent="0.25">
      <c r="A41" s="1" t="s">
        <v>20</v>
      </c>
      <c r="B41" s="1" t="e">
        <f>#REF!</f>
        <v>#REF!</v>
      </c>
      <c r="C41" s="1" t="e">
        <f>VLOOKUP(#REF!,B32:D36,3,FALSE)</f>
        <v>#REF!</v>
      </c>
      <c r="D41" s="1" t="e">
        <f>B40-C40</f>
        <v>#VALUE!</v>
      </c>
      <c r="E41" s="1" t="e">
        <f>IF(D40&gt;0,"SURPLUS","DEFICIT")</f>
        <v>#VALUE!</v>
      </c>
    </row>
    <row r="42" spans="1:5" x14ac:dyDescent="0.25">
      <c r="A42" s="1" t="s">
        <v>18</v>
      </c>
      <c r="B42" s="1">
        <f>F17</f>
        <v>0</v>
      </c>
      <c r="C42" s="1" t="e">
        <f>VLOOKUP(#REF!,B32:D36,4,FALSE)</f>
        <v>#REF!</v>
      </c>
      <c r="D42" s="1" t="e">
        <f>B41-C41</f>
        <v>#REF!</v>
      </c>
      <c r="E42" s="1" t="e">
        <f>IF(D41&gt;0,"SURPLUS","DEFICIT")</f>
        <v>#VALUE!</v>
      </c>
    </row>
    <row r="44" spans="1:5" x14ac:dyDescent="0.25">
      <c r="A44" s="1" t="s">
        <v>39</v>
      </c>
    </row>
    <row r="45" spans="1:5" x14ac:dyDescent="0.25">
      <c r="A45" s="1" t="s">
        <v>40</v>
      </c>
      <c r="B45" s="1" t="s">
        <v>41</v>
      </c>
      <c r="C45" s="1" t="s">
        <v>42</v>
      </c>
      <c r="D45" s="1" t="s">
        <v>43</v>
      </c>
    </row>
    <row r="46" spans="1:5" x14ac:dyDescent="0.25">
      <c r="A46" s="1" t="s">
        <v>44</v>
      </c>
      <c r="B46" s="1" t="s">
        <v>45</v>
      </c>
      <c r="C46" s="1" t="s">
        <v>46</v>
      </c>
      <c r="D46" s="1" t="s">
        <v>47</v>
      </c>
    </row>
    <row r="47" spans="1:5" x14ac:dyDescent="0.25">
      <c r="A47" s="1" t="s">
        <v>48</v>
      </c>
      <c r="B47" s="1" t="s">
        <v>49</v>
      </c>
      <c r="C47" s="1" t="s">
        <v>50</v>
      </c>
      <c r="D47" s="1" t="s">
        <v>51</v>
      </c>
    </row>
    <row r="48" spans="1:5" x14ac:dyDescent="0.25">
      <c r="A48" s="1" t="s">
        <v>52</v>
      </c>
      <c r="B48" s="1" t="s">
        <v>53</v>
      </c>
      <c r="C48" s="1" t="s">
        <v>53</v>
      </c>
      <c r="D48" s="1" t="s">
        <v>53</v>
      </c>
    </row>
    <row r="50" spans="1:6" x14ac:dyDescent="0.25">
      <c r="A50" s="1" t="s">
        <v>54</v>
      </c>
    </row>
    <row r="51" spans="1:6" x14ac:dyDescent="0.25">
      <c r="A51" s="1" t="s">
        <v>55</v>
      </c>
      <c r="B51" s="1" t="s">
        <v>56</v>
      </c>
      <c r="C51" s="1" t="s">
        <v>57</v>
      </c>
      <c r="D51" s="1" t="s">
        <v>58</v>
      </c>
      <c r="E51" s="1" t="s">
        <v>59</v>
      </c>
      <c r="F51" s="1" t="s">
        <v>60</v>
      </c>
    </row>
    <row r="52" spans="1:6" x14ac:dyDescent="0.25">
      <c r="A52" s="1" t="s">
        <v>61</v>
      </c>
      <c r="B52" s="1">
        <v>0</v>
      </c>
      <c r="C52" s="1">
        <v>0</v>
      </c>
      <c r="D52" s="1">
        <v>0</v>
      </c>
      <c r="E52" s="1">
        <v>9</v>
      </c>
      <c r="F52" s="1" t="e">
        <f>SUM(D39:D41)</f>
        <v>#VALUE!</v>
      </c>
    </row>
    <row r="53" spans="1:6" x14ac:dyDescent="0.25">
      <c r="A53" s="1" t="s">
        <v>62</v>
      </c>
      <c r="B53" s="1">
        <v>2</v>
      </c>
      <c r="C53" s="1">
        <v>2</v>
      </c>
      <c r="D53" s="1">
        <v>2</v>
      </c>
      <c r="E53" s="1">
        <v>9</v>
      </c>
      <c r="F53" s="1" t="e">
        <f>SUM(D39:D41)</f>
        <v>#VALUE!</v>
      </c>
    </row>
    <row r="54" spans="1:6" x14ac:dyDescent="0.25">
      <c r="A54" s="1" t="s">
        <v>63</v>
      </c>
      <c r="B54" s="1">
        <v>1</v>
      </c>
      <c r="C54" s="1">
        <v>3</v>
      </c>
      <c r="D54" s="1">
        <v>0</v>
      </c>
      <c r="E54" s="1">
        <v>9</v>
      </c>
      <c r="F54" s="1" t="e">
        <f>SUM(D39:D41)</f>
        <v>#VALUE!</v>
      </c>
    </row>
    <row r="55" spans="1:6" x14ac:dyDescent="0.25">
      <c r="A55" s="1" t="s">
        <v>64</v>
      </c>
      <c r="B55" s="1">
        <v>1</v>
      </c>
      <c r="C55" s="1">
        <v>0</v>
      </c>
      <c r="D55" s="1">
        <v>3</v>
      </c>
      <c r="E55" s="1">
        <v>9</v>
      </c>
      <c r="F55" s="1" t="e">
        <f>SUM(D39:D41)</f>
        <v>#VALUE!</v>
      </c>
    </row>
    <row r="56" spans="1:6" x14ac:dyDescent="0.25">
      <c r="A56" s="1" t="s">
        <v>65</v>
      </c>
      <c r="B56" s="1">
        <v>5</v>
      </c>
      <c r="C56" s="1">
        <v>5</v>
      </c>
      <c r="D56" s="1">
        <v>5</v>
      </c>
      <c r="E56" s="1">
        <v>9</v>
      </c>
      <c r="F56" s="1" t="e">
        <f>SUM(D39:D41)</f>
        <v>#VALUE!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economy-calculator-fixed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Davion Nguyen</dc:creator>
  <cp:lastModifiedBy>Nam Nguyen</cp:lastModifiedBy>
  <dcterms:created xsi:type="dcterms:W3CDTF">2026-04-22T07:38:37Z</dcterms:created>
  <dcterms:modified xsi:type="dcterms:W3CDTF">2026-04-23T07:42:27Z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8f76e0-d66d-4ace-a8e8-fdc545fae579_Enabled">
    <vt:lpwstr>true</vt:lpwstr>
  </property>
  <property fmtid="{D5CDD505-2E9C-101B-9397-08002B2CF9AE}" pid="3" name="MSIP_Label_5c8f76e0-d66d-4ace-a8e8-fdc545fae579_SetDate">
    <vt:lpwstr>2026-04-22T07:40:37Z</vt:lpwstr>
  </property>
  <property fmtid="{D5CDD505-2E9C-101B-9397-08002B2CF9AE}" pid="4" name="MSIP_Label_5c8f76e0-d66d-4ace-a8e8-fdc545fae579_Method">
    <vt:lpwstr>Standard</vt:lpwstr>
  </property>
  <property fmtid="{D5CDD505-2E9C-101B-9397-08002B2CF9AE}" pid="5" name="MSIP_Label_5c8f76e0-d66d-4ace-a8e8-fdc545fae579_Name">
    <vt:lpwstr>Internal</vt:lpwstr>
  </property>
  <property fmtid="{D5CDD505-2E9C-101B-9397-08002B2CF9AE}" pid="6" name="MSIP_Label_5c8f76e0-d66d-4ace-a8e8-fdc545fae579_SiteId">
    <vt:lpwstr>cdc4b90d-7fa9-4a12-8d58-c2872266673c</vt:lpwstr>
  </property>
  <property fmtid="{D5CDD505-2E9C-101B-9397-08002B2CF9AE}" pid="7" name="MSIP_Label_5c8f76e0-d66d-4ace-a8e8-fdc545fae579_ActionId">
    <vt:lpwstr>7afac10b-f520-4c67-abec-41e9582ae7b7</vt:lpwstr>
  </property>
  <property fmtid="{D5CDD505-2E9C-101B-9397-08002B2CF9AE}" pid="8" name="MSIP_Label_5c8f76e0-d66d-4ace-a8e8-fdc545fae579_ContentBits">
    <vt:lpwstr>0</vt:lpwstr>
  </property>
  <property fmtid="{D5CDD505-2E9C-101B-9397-08002B2CF9AE}" pid="9" name="MSIP_Label_5c8f76e0-d66d-4ace-a8e8-fdc545fae579_Tag">
    <vt:lpwstr>10, 3, 0, 1</vt:lpwstr>
  </property>
</Properties>
</file>