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sentech-my.sharepoint.com/personal/davion_nguyen_hansencx_com/Documents/"/>
    </mc:Choice>
  </mc:AlternateContent>
  <xr:revisionPtr revIDLastSave="146" documentId="8_{B0F48902-DD4B-46E3-8B0F-E9C2C30808C1}" xr6:coauthVersionLast="47" xr6:coauthVersionMax="47" xr10:uidLastSave="{484D9CE5-3F5B-4650-BF5B-D6626C4FE38B}"/>
  <bookViews>
    <workbookView xWindow="-120" yWindow="-120" windowWidth="29040" windowHeight="15720" xr2:uid="{126CF19B-DE03-4BC5-A902-1F108B4FCCAA}"/>
  </bookViews>
  <sheets>
    <sheet name="economy-calculator-fixed" sheetId="1" r:id="rId1"/>
  </sheets>
  <calcPr calcId="0"/>
</workbook>
</file>

<file path=xl/calcChain.xml><?xml version="1.0" encoding="utf-8"?>
<calcChain xmlns="http://schemas.openxmlformats.org/spreadsheetml/2006/main">
  <c r="F24" i="1" l="1"/>
  <c r="F25" i="1"/>
  <c r="E24" i="1"/>
  <c r="E25" i="1"/>
  <c r="D24" i="1"/>
  <c r="D25" i="1"/>
  <c r="C24" i="1"/>
  <c r="C25" i="1"/>
  <c r="E19" i="1"/>
  <c r="F19" i="1"/>
  <c r="G19" i="1"/>
  <c r="H19" i="1"/>
  <c r="I19" i="1"/>
  <c r="D19" i="1"/>
  <c r="C19" i="1"/>
  <c r="E18" i="1"/>
  <c r="F18" i="1"/>
  <c r="G18" i="1"/>
  <c r="H18" i="1"/>
  <c r="I18" i="1"/>
  <c r="D18" i="1"/>
  <c r="C18" i="1"/>
  <c r="B19" i="1"/>
  <c r="B18" i="1"/>
  <c r="E17" i="1"/>
  <c r="F17" i="1"/>
  <c r="G17" i="1"/>
  <c r="H17" i="1"/>
  <c r="I17" i="1"/>
  <c r="D17" i="1"/>
  <c r="E23" i="1"/>
  <c r="F23" i="1" s="1"/>
  <c r="C17" i="1"/>
  <c r="B17" i="1"/>
  <c r="C23" i="1"/>
  <c r="D23" i="1" s="1"/>
  <c r="B16" i="1"/>
  <c r="C16" i="1"/>
  <c r="D16" i="1"/>
  <c r="E16" i="1"/>
  <c r="F16" i="1"/>
  <c r="G16" i="1"/>
  <c r="H16" i="1"/>
  <c r="I16" i="1"/>
  <c r="B45" i="1"/>
  <c r="C29" i="1"/>
  <c r="D29" i="1"/>
  <c r="E29" i="1"/>
  <c r="C30" i="1"/>
  <c r="B44" i="1" s="1"/>
  <c r="D45" i="1" s="1"/>
  <c r="E46" i="1" s="1"/>
  <c r="D30" i="1"/>
  <c r="E30" i="1"/>
  <c r="C31" i="1"/>
  <c r="D31" i="1"/>
  <c r="E31" i="1"/>
  <c r="C32" i="1"/>
  <c r="D32" i="1"/>
  <c r="E32" i="1"/>
  <c r="C44" i="1"/>
  <c r="D44" i="1"/>
  <c r="F56" i="1" s="1"/>
  <c r="E44" i="1"/>
  <c r="C45" i="1"/>
  <c r="E45" i="1"/>
  <c r="B46" i="1"/>
  <c r="C46" i="1"/>
  <c r="D46" i="1" l="1"/>
  <c r="F60" i="1"/>
  <c r="F59" i="1"/>
  <c r="F58" i="1"/>
  <c r="F57" i="1"/>
</calcChain>
</file>

<file path=xl/sharedStrings.xml><?xml version="1.0" encoding="utf-8"?>
<sst xmlns="http://schemas.openxmlformats.org/spreadsheetml/2006/main" count="94" uniqueCount="81">
  <si>
    <t>INPUT PARAMETERS</t>
  </si>
  <si>
    <t>Difficulty Level</t>
  </si>
  <si>
    <t>Easy</t>
  </si>
  <si>
    <t>ROOM UPGRADES (0-5)</t>
  </si>
  <si>
    <t>Wood Extraction Tier</t>
  </si>
  <si>
    <t>Stone Mining Tier</t>
  </si>
  <si>
    <t>Magic Extraction Tier</t>
  </si>
  <si>
    <t>Workshop Tier</t>
  </si>
  <si>
    <t>Alchemy Tier</t>
  </si>
  <si>
    <t>MEMBER ASSIGNMENTS</t>
  </si>
  <si>
    <t>Wood Extraction Members</t>
  </si>
  <si>
    <t>Stone Mining Members</t>
  </si>
  <si>
    <t>Magic Extraction Members</t>
  </si>
  <si>
    <t>PRODUCTION CALCULATIONS (per hour)</t>
  </si>
  <si>
    <t>Resource</t>
  </si>
  <si>
    <t>Base Rate</t>
  </si>
  <si>
    <t>Upgrade Multiplier</t>
  </si>
  <si>
    <t>Effective Rate</t>
  </si>
  <si>
    <t>Members</t>
  </si>
  <si>
    <t>Total Production</t>
  </si>
  <si>
    <t>Units</t>
  </si>
  <si>
    <t>Wood</t>
  </si>
  <si>
    <t>Stone</t>
  </si>
  <si>
    <t>Magic Items</t>
  </si>
  <si>
    <t>ORE CONVERSION RATES</t>
  </si>
  <si>
    <t>Difficulty</t>
  </si>
  <si>
    <t>Conversion Rate</t>
  </si>
  <si>
    <t>Iron Ore</t>
  </si>
  <si>
    <t>Crystal</t>
  </si>
  <si>
    <t>Rare Ore</t>
  </si>
  <si>
    <t>Easy/Normal</t>
  </si>
  <si>
    <t>Hard</t>
  </si>
  <si>
    <t>Very Hard</t>
  </si>
  <si>
    <t>Nightmare</t>
  </si>
  <si>
    <t>CONSUMPTION RATES (per hour)</t>
  </si>
  <si>
    <t>Ore Demand</t>
  </si>
  <si>
    <t>Normal</t>
  </si>
  <si>
    <t>ECONOMIC ANALYSIS</t>
  </si>
  <si>
    <t>Production</t>
  </si>
  <si>
    <t>Consumption</t>
  </si>
  <si>
    <t>Surplus/Deficit</t>
  </si>
  <si>
    <t>Status</t>
  </si>
  <si>
    <t>SPECIALIZATION IMPACT</t>
  </si>
  <si>
    <t>Specialization</t>
  </si>
  <si>
    <t>Extra Slots</t>
  </si>
  <si>
    <t>Production Bonus</t>
  </si>
  <si>
    <t>Cost Reduction</t>
  </si>
  <si>
    <t>Armory Master</t>
  </si>
  <si>
    <t>+1 Workshop, +1 Mine</t>
  </si>
  <si>
    <t>+15% Workshop</t>
  </si>
  <si>
    <t>-20% Workshop upgrades</t>
  </si>
  <si>
    <t>Potion Master</t>
  </si>
  <si>
    <t>+2 Alchemy, +1 Magic</t>
  </si>
  <si>
    <t>+20% Alchemy</t>
  </si>
  <si>
    <t>-30% Alchemy upgrades</t>
  </si>
  <si>
    <t>Generalist</t>
  </si>
  <si>
    <t>None</t>
  </si>
  <si>
    <t>SCENARIO ANALYSIS</t>
  </si>
  <si>
    <t>Scenario</t>
  </si>
  <si>
    <t>Wood Tier</t>
  </si>
  <si>
    <t>Stone Tier</t>
  </si>
  <si>
    <t>Magic Tier</t>
  </si>
  <si>
    <t>Members Total</t>
  </si>
  <si>
    <t>Net Position</t>
  </si>
  <si>
    <t>Base Setup</t>
  </si>
  <si>
    <t>Balanced Upgrade</t>
  </si>
  <si>
    <t>Armory Focus</t>
  </si>
  <si>
    <t>Potion Focus</t>
  </si>
  <si>
    <t>Max Upgrade</t>
  </si>
  <si>
    <t>Tier 1</t>
  </si>
  <si>
    <t>Tier 2</t>
  </si>
  <si>
    <t>Tier 3</t>
  </si>
  <si>
    <t>Tier 4</t>
  </si>
  <si>
    <t>Tier 5</t>
  </si>
  <si>
    <t>wood/min</t>
  </si>
  <si>
    <t>Total Cumulative Efficiency</t>
  </si>
  <si>
    <t>Chọn  tier upgrade</t>
  </si>
  <si>
    <t>Chọn số member</t>
  </si>
  <si>
    <t>stone/min</t>
  </si>
  <si>
    <t>items/min</t>
  </si>
  <si>
    <t>Ý Nghĩa của 0.8
0.8 = Mỗi thành viên mới chỉ được 80% hiệu suất của thành viên trước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</si>
</sst>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/>
    </xf>
    <xf numFmtId="0" fontId="0" fillId="33" borderId="10" xfId="0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E69E-64D3-4E83-A84A-227AF999B9CD}">
  <dimension ref="A5:J60"/>
  <sheetViews>
    <sheetView tabSelected="1" workbookViewId="0">
      <selection activeCell="K15" sqref="K15"/>
    </sheetView>
  </sheetViews>
  <sheetFormatPr defaultRowHeight="15" x14ac:dyDescent="0.25"/>
  <cols>
    <col min="1" max="1" width="36.42578125" style="1" bestFit="1" customWidth="1"/>
    <col min="2" max="2" width="9.140625" style="1"/>
    <col min="3" max="3" width="17.5703125" style="1" bestFit="1" customWidth="1"/>
    <col min="4" max="4" width="13.5703125" style="1" customWidth="1"/>
    <col min="5" max="5" width="16" style="1" bestFit="1" customWidth="1"/>
    <col min="6" max="6" width="16.28515625" style="1" customWidth="1"/>
    <col min="7" max="7" width="10.7109375" style="1" bestFit="1" customWidth="1"/>
    <col min="8" max="9" width="9.140625" style="1"/>
    <col min="10" max="10" width="40.5703125" style="1" customWidth="1"/>
    <col min="11" max="16384" width="9.140625" style="1"/>
  </cols>
  <sheetData>
    <row r="5" spans="1:10" x14ac:dyDescent="0.25">
      <c r="A5" s="1" t="s">
        <v>0</v>
      </c>
    </row>
    <row r="6" spans="1:10" x14ac:dyDescent="0.25">
      <c r="A6" s="1" t="s">
        <v>1</v>
      </c>
      <c r="B6" s="1" t="s">
        <v>2</v>
      </c>
    </row>
    <row r="8" spans="1:10" x14ac:dyDescent="0.25">
      <c r="A8" s="4" t="s">
        <v>3</v>
      </c>
      <c r="B8" s="4"/>
      <c r="C8" s="4" t="s">
        <v>69</v>
      </c>
      <c r="D8" s="4" t="s">
        <v>70</v>
      </c>
      <c r="E8" s="4" t="s">
        <v>71</v>
      </c>
      <c r="F8" s="4" t="s">
        <v>72</v>
      </c>
      <c r="G8" s="4" t="s">
        <v>73</v>
      </c>
    </row>
    <row r="9" spans="1:10" x14ac:dyDescent="0.25">
      <c r="A9" s="4" t="s">
        <v>4</v>
      </c>
      <c r="B9" s="4">
        <v>1</v>
      </c>
      <c r="C9" s="4">
        <v>1.5</v>
      </c>
      <c r="D9" s="4">
        <v>2.25</v>
      </c>
      <c r="E9" s="4">
        <v>3.375</v>
      </c>
      <c r="F9" s="4">
        <v>5.0625</v>
      </c>
      <c r="G9" s="4">
        <v>7.59375</v>
      </c>
    </row>
    <row r="10" spans="1:10" x14ac:dyDescent="0.25">
      <c r="A10" s="4" t="s">
        <v>5</v>
      </c>
      <c r="B10" s="4">
        <v>1</v>
      </c>
      <c r="C10" s="4">
        <v>1.5</v>
      </c>
      <c r="D10" s="4">
        <v>2.25</v>
      </c>
      <c r="E10" s="4">
        <v>3.375</v>
      </c>
      <c r="F10" s="4">
        <v>5.0625</v>
      </c>
      <c r="G10" s="4">
        <v>7.59375</v>
      </c>
    </row>
    <row r="11" spans="1:10" x14ac:dyDescent="0.25">
      <c r="A11" s="4" t="s">
        <v>6</v>
      </c>
      <c r="B11" s="4">
        <v>1</v>
      </c>
      <c r="C11" s="4">
        <v>1.5</v>
      </c>
      <c r="D11" s="4">
        <v>2.25</v>
      </c>
      <c r="E11" s="4">
        <v>3.375</v>
      </c>
      <c r="F11" s="4">
        <v>5.0625</v>
      </c>
      <c r="G11" s="4">
        <v>7.59375</v>
      </c>
    </row>
    <row r="12" spans="1:10" x14ac:dyDescent="0.25">
      <c r="A12" s="4" t="s">
        <v>7</v>
      </c>
      <c r="B12" s="4">
        <v>1</v>
      </c>
      <c r="C12" s="4">
        <v>1.5</v>
      </c>
      <c r="D12" s="4">
        <v>2.25</v>
      </c>
      <c r="E12" s="4">
        <v>3.375</v>
      </c>
      <c r="F12" s="4">
        <v>5.0625</v>
      </c>
      <c r="G12" s="4">
        <v>7.59375</v>
      </c>
    </row>
    <row r="13" spans="1:10" x14ac:dyDescent="0.25">
      <c r="A13" s="4" t="s">
        <v>8</v>
      </c>
      <c r="B13" s="4">
        <v>1</v>
      </c>
      <c r="C13" s="4">
        <v>1.5</v>
      </c>
      <c r="D13" s="4">
        <v>2.25</v>
      </c>
      <c r="E13" s="4">
        <v>3.375</v>
      </c>
      <c r="F13" s="4">
        <v>5.0625</v>
      </c>
      <c r="G13" s="4">
        <v>7.59375</v>
      </c>
    </row>
    <row r="15" spans="1:10" ht="45" x14ac:dyDescent="0.25">
      <c r="A15" s="4" t="s">
        <v>9</v>
      </c>
      <c r="B15" s="4">
        <v>1</v>
      </c>
      <c r="C15" s="4">
        <v>2</v>
      </c>
      <c r="D15" s="4">
        <v>3</v>
      </c>
      <c r="E15" s="4">
        <v>4</v>
      </c>
      <c r="F15" s="4">
        <v>5</v>
      </c>
      <c r="G15" s="4">
        <v>6</v>
      </c>
      <c r="H15" s="4">
        <v>7</v>
      </c>
      <c r="I15" s="4">
        <v>8</v>
      </c>
      <c r="J15" s="2" t="s">
        <v>80</v>
      </c>
    </row>
    <row r="16" spans="1:10" x14ac:dyDescent="0.25">
      <c r="A16" s="4" t="s">
        <v>75</v>
      </c>
      <c r="B16" s="4">
        <f>(0.25*(0.8)^(1-1))</f>
        <v>0.25</v>
      </c>
      <c r="C16" s="4">
        <f>(0.25*(0.8)^(2-1))</f>
        <v>0.2</v>
      </c>
      <c r="D16" s="4">
        <f>(0.25*(0.8)^(3-1))</f>
        <v>0.16000000000000003</v>
      </c>
      <c r="E16" s="4">
        <f>(0.25*(0.8)^(4-1))</f>
        <v>0.12800000000000003</v>
      </c>
      <c r="F16" s="4">
        <f>(0.25*(0.8)^(5-1))</f>
        <v>0.10240000000000005</v>
      </c>
      <c r="G16" s="4">
        <f>(0.25*(0.8)^(6-1))</f>
        <v>8.1920000000000048E-2</v>
      </c>
      <c r="H16" s="4">
        <f>(0.25*(0.8)^(7-1))</f>
        <v>6.5536000000000039E-2</v>
      </c>
      <c r="I16" s="4">
        <f>(0.25*(0.8)^(8-1))</f>
        <v>5.2428800000000039E-2</v>
      </c>
    </row>
    <row r="17" spans="1:9" x14ac:dyDescent="0.25">
      <c r="A17" s="4" t="s">
        <v>10</v>
      </c>
      <c r="B17" s="4">
        <f>B16</f>
        <v>0.25</v>
      </c>
      <c r="C17" s="4">
        <f>B16+C16</f>
        <v>0.45</v>
      </c>
      <c r="D17" s="4">
        <f>C17+D16</f>
        <v>0.6100000000000001</v>
      </c>
      <c r="E17" s="4">
        <f t="shared" ref="E17:I17" si="0">D17+E16</f>
        <v>0.7380000000000001</v>
      </c>
      <c r="F17" s="4">
        <f t="shared" si="0"/>
        <v>0.84040000000000015</v>
      </c>
      <c r="G17" s="4">
        <f t="shared" si="0"/>
        <v>0.92232000000000025</v>
      </c>
      <c r="H17" s="4">
        <f t="shared" si="0"/>
        <v>0.98785600000000029</v>
      </c>
      <c r="I17" s="4">
        <f t="shared" si="0"/>
        <v>1.0402848000000002</v>
      </c>
    </row>
    <row r="18" spans="1:9" x14ac:dyDescent="0.25">
      <c r="A18" s="4" t="s">
        <v>11</v>
      </c>
      <c r="B18" s="4">
        <f>B16</f>
        <v>0.25</v>
      </c>
      <c r="C18" s="4">
        <f>B16+C16</f>
        <v>0.45</v>
      </c>
      <c r="D18" s="4">
        <f>C18+D16</f>
        <v>0.6100000000000001</v>
      </c>
      <c r="E18" s="4">
        <f t="shared" ref="E18:I18" si="1">D18+E16</f>
        <v>0.7380000000000001</v>
      </c>
      <c r="F18" s="4">
        <f t="shared" si="1"/>
        <v>0.84040000000000015</v>
      </c>
      <c r="G18" s="4">
        <f t="shared" si="1"/>
        <v>0.92232000000000025</v>
      </c>
      <c r="H18" s="4">
        <f t="shared" si="1"/>
        <v>0.98785600000000029</v>
      </c>
      <c r="I18" s="4">
        <f t="shared" si="1"/>
        <v>1.0402848000000002</v>
      </c>
    </row>
    <row r="19" spans="1:9" x14ac:dyDescent="0.25">
      <c r="A19" s="4" t="s">
        <v>12</v>
      </c>
      <c r="B19" s="4">
        <f>B16</f>
        <v>0.25</v>
      </c>
      <c r="C19" s="4">
        <f>B16+C16</f>
        <v>0.45</v>
      </c>
      <c r="D19" s="4">
        <f>C19+D16</f>
        <v>0.6100000000000001</v>
      </c>
      <c r="E19" s="4">
        <f t="shared" ref="E19:I19" si="2">D19+E16</f>
        <v>0.7380000000000001</v>
      </c>
      <c r="F19" s="4">
        <f t="shared" si="2"/>
        <v>0.84040000000000015</v>
      </c>
      <c r="G19" s="4">
        <f t="shared" si="2"/>
        <v>0.92232000000000025</v>
      </c>
      <c r="H19" s="4">
        <f t="shared" si="2"/>
        <v>0.98785600000000029</v>
      </c>
      <c r="I19" s="4">
        <f t="shared" si="2"/>
        <v>1.0402848000000002</v>
      </c>
    </row>
    <row r="21" spans="1:9" x14ac:dyDescent="0.25">
      <c r="A21" s="4" t="s">
        <v>13</v>
      </c>
      <c r="B21" s="4"/>
      <c r="C21" s="4" t="s">
        <v>76</v>
      </c>
      <c r="D21" s="4"/>
      <c r="E21" s="4" t="s">
        <v>77</v>
      </c>
      <c r="F21" s="4"/>
      <c r="G21" s="4"/>
    </row>
    <row r="22" spans="1:9" x14ac:dyDescent="0.25">
      <c r="A22" s="4" t="s">
        <v>14</v>
      </c>
      <c r="B22" s="4" t="s">
        <v>15</v>
      </c>
      <c r="C22" s="4" t="s">
        <v>16</v>
      </c>
      <c r="D22" s="4" t="s">
        <v>17</v>
      </c>
      <c r="E22" s="4" t="s">
        <v>18</v>
      </c>
      <c r="F22" s="4" t="s">
        <v>19</v>
      </c>
      <c r="G22" s="4" t="s">
        <v>20</v>
      </c>
    </row>
    <row r="23" spans="1:9" x14ac:dyDescent="0.25">
      <c r="A23" s="4" t="s">
        <v>21</v>
      </c>
      <c r="B23" s="4">
        <v>10</v>
      </c>
      <c r="C23" s="4">
        <f>G9</f>
        <v>7.59375</v>
      </c>
      <c r="D23" s="4">
        <f>C23*B23</f>
        <v>75.9375</v>
      </c>
      <c r="E23" s="4">
        <f>I17</f>
        <v>1.0402848000000002</v>
      </c>
      <c r="F23" s="4">
        <f>D23*(1+E23)</f>
        <v>154.93412700000002</v>
      </c>
      <c r="G23" s="4" t="s">
        <v>74</v>
      </c>
    </row>
    <row r="24" spans="1:9" x14ac:dyDescent="0.25">
      <c r="A24" s="4" t="s">
        <v>22</v>
      </c>
      <c r="B24" s="4">
        <v>8</v>
      </c>
      <c r="C24" s="4">
        <f t="shared" ref="C24:C25" si="3">G10</f>
        <v>7.59375</v>
      </c>
      <c r="D24" s="4">
        <f t="shared" ref="D24:D25" si="4">C24*B24</f>
        <v>60.75</v>
      </c>
      <c r="E24" s="4">
        <f t="shared" ref="E24:E25" si="5">I18</f>
        <v>1.0402848000000002</v>
      </c>
      <c r="F24" s="4">
        <f t="shared" ref="F24:F25" si="6">D24*(1+E24)</f>
        <v>123.94730160000002</v>
      </c>
      <c r="G24" s="4" t="s">
        <v>78</v>
      </c>
    </row>
    <row r="25" spans="1:9" x14ac:dyDescent="0.25">
      <c r="A25" s="4" t="s">
        <v>23</v>
      </c>
      <c r="B25" s="4">
        <v>6</v>
      </c>
      <c r="C25" s="4">
        <f t="shared" si="3"/>
        <v>7.59375</v>
      </c>
      <c r="D25" s="4">
        <f t="shared" si="4"/>
        <v>45.5625</v>
      </c>
      <c r="E25" s="4">
        <f t="shared" si="5"/>
        <v>1.0402848000000002</v>
      </c>
      <c r="F25" s="4">
        <f t="shared" si="6"/>
        <v>92.960476200000016</v>
      </c>
      <c r="G25" s="4" t="s">
        <v>79</v>
      </c>
    </row>
    <row r="27" spans="1:9" x14ac:dyDescent="0.25">
      <c r="A27" s="1" t="s">
        <v>24</v>
      </c>
    </row>
    <row r="28" spans="1:9" x14ac:dyDescent="0.25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29</v>
      </c>
    </row>
    <row r="29" spans="1:9" x14ac:dyDescent="0.25">
      <c r="A29" s="1" t="s">
        <v>30</v>
      </c>
      <c r="B29" s="3">
        <v>6.5000000000000002E-2</v>
      </c>
      <c r="C29" s="1" t="e">
        <f>F22*B28</f>
        <v>#VALUE!</v>
      </c>
      <c r="D29" s="1" t="e">
        <f>F22*B28*0.3</f>
        <v>#VALUE!</v>
      </c>
      <c r="E29" s="1" t="e">
        <f>F22*B28*0.1</f>
        <v>#VALUE!</v>
      </c>
    </row>
    <row r="30" spans="1:9" x14ac:dyDescent="0.25">
      <c r="A30" s="1" t="s">
        <v>31</v>
      </c>
      <c r="B30" s="3">
        <v>0.125</v>
      </c>
      <c r="C30" s="1" t="e">
        <f>F22*B29</f>
        <v>#VALUE!</v>
      </c>
      <c r="D30" s="1" t="e">
        <f>F22*B29*0.3</f>
        <v>#VALUE!</v>
      </c>
      <c r="E30" s="1" t="e">
        <f>F22*B29*0.1</f>
        <v>#VALUE!</v>
      </c>
    </row>
    <row r="31" spans="1:9" x14ac:dyDescent="0.25">
      <c r="A31" s="1" t="s">
        <v>32</v>
      </c>
      <c r="B31" s="3">
        <v>0.125</v>
      </c>
      <c r="C31" s="1" t="e">
        <f>F22*B29</f>
        <v>#VALUE!</v>
      </c>
      <c r="D31" s="1" t="e">
        <f>F22*B29*0.3</f>
        <v>#VALUE!</v>
      </c>
      <c r="E31" s="1" t="e">
        <f>F22*B29*0.1</f>
        <v>#VALUE!</v>
      </c>
    </row>
    <row r="32" spans="1:9" x14ac:dyDescent="0.25">
      <c r="A32" s="1" t="s">
        <v>33</v>
      </c>
      <c r="B32" s="3">
        <v>0.125</v>
      </c>
      <c r="C32" s="1" t="e">
        <f>F22*B29</f>
        <v>#VALUE!</v>
      </c>
      <c r="D32" s="1" t="e">
        <f>F22*B29*0.3</f>
        <v>#VALUE!</v>
      </c>
      <c r="E32" s="1" t="e">
        <f>F22*B29*0.1</f>
        <v>#VALUE!</v>
      </c>
    </row>
    <row r="34" spans="1:5" x14ac:dyDescent="0.25">
      <c r="A34" s="1" t="s">
        <v>34</v>
      </c>
    </row>
    <row r="35" spans="1:5" x14ac:dyDescent="0.25">
      <c r="A35" s="1" t="s">
        <v>25</v>
      </c>
      <c r="B35" s="1" t="s">
        <v>35</v>
      </c>
      <c r="C35" s="1" t="s">
        <v>23</v>
      </c>
      <c r="D35" s="1" t="s">
        <v>21</v>
      </c>
    </row>
    <row r="36" spans="1:5" x14ac:dyDescent="0.25">
      <c r="A36" s="1" t="s">
        <v>2</v>
      </c>
      <c r="B36" s="1">
        <v>0.33</v>
      </c>
      <c r="C36" s="1">
        <v>0</v>
      </c>
      <c r="D36" s="1">
        <v>0</v>
      </c>
    </row>
    <row r="37" spans="1:5" x14ac:dyDescent="0.25">
      <c r="A37" s="1" t="s">
        <v>36</v>
      </c>
      <c r="B37" s="1">
        <v>11.5</v>
      </c>
      <c r="C37" s="1">
        <v>9</v>
      </c>
      <c r="D37" s="1">
        <v>0</v>
      </c>
    </row>
    <row r="38" spans="1:5" x14ac:dyDescent="0.25">
      <c r="A38" s="1" t="s">
        <v>31</v>
      </c>
      <c r="B38" s="1">
        <v>113.67</v>
      </c>
      <c r="C38" s="1">
        <v>12</v>
      </c>
      <c r="D38" s="1">
        <v>6</v>
      </c>
    </row>
    <row r="39" spans="1:5" x14ac:dyDescent="0.25">
      <c r="A39" s="1" t="s">
        <v>32</v>
      </c>
      <c r="B39" s="1">
        <v>21</v>
      </c>
      <c r="C39" s="1">
        <v>13.5</v>
      </c>
      <c r="D39" s="1">
        <v>9</v>
      </c>
    </row>
    <row r="40" spans="1:5" x14ac:dyDescent="0.25">
      <c r="A40" s="1" t="s">
        <v>33</v>
      </c>
      <c r="B40" s="1">
        <v>35</v>
      </c>
      <c r="C40" s="1">
        <v>15</v>
      </c>
      <c r="D40" s="1">
        <v>15</v>
      </c>
    </row>
    <row r="42" spans="1:5" x14ac:dyDescent="0.25">
      <c r="A42" s="1" t="s">
        <v>37</v>
      </c>
    </row>
    <row r="43" spans="1:5" x14ac:dyDescent="0.25">
      <c r="A43" s="1" t="s">
        <v>14</v>
      </c>
      <c r="B43" s="1" t="s">
        <v>38</v>
      </c>
      <c r="C43" s="1" t="s">
        <v>39</v>
      </c>
      <c r="D43" s="1" t="s">
        <v>40</v>
      </c>
      <c r="E43" s="1" t="s">
        <v>41</v>
      </c>
    </row>
    <row r="44" spans="1:5" x14ac:dyDescent="0.25">
      <c r="A44" s="1" t="s">
        <v>27</v>
      </c>
      <c r="B44" s="1" t="e">
        <f>C30</f>
        <v>#VALUE!</v>
      </c>
      <c r="C44" s="1" t="e">
        <f>VLOOKUP(B6,B36:D40,2,FALSE)</f>
        <v>#N/A</v>
      </c>
      <c r="D44" s="1" t="e">
        <f>B43-C43</f>
        <v>#VALUE!</v>
      </c>
      <c r="E44" s="1" t="str">
        <f>IF(D43&gt;0,"SURPLUS","DEFICIT")</f>
        <v>SURPLUS</v>
      </c>
    </row>
    <row r="45" spans="1:5" x14ac:dyDescent="0.25">
      <c r="A45" s="1" t="s">
        <v>23</v>
      </c>
      <c r="B45" s="1" t="e">
        <f>#REF!</f>
        <v>#REF!</v>
      </c>
      <c r="C45" s="1" t="e">
        <f>VLOOKUP(B6,B36:D40,3,FALSE)</f>
        <v>#N/A</v>
      </c>
      <c r="D45" s="1" t="e">
        <f>B44-C44</f>
        <v>#VALUE!</v>
      </c>
      <c r="E45" s="1" t="e">
        <f>IF(D44&gt;0,"SURPLUS","DEFICIT")</f>
        <v>#VALUE!</v>
      </c>
    </row>
    <row r="46" spans="1:5" x14ac:dyDescent="0.25">
      <c r="A46" s="1" t="s">
        <v>21</v>
      </c>
      <c r="B46" s="1">
        <f>F21</f>
        <v>0</v>
      </c>
      <c r="C46" s="1" t="e">
        <f>VLOOKUP(B6,B36:D40,4,FALSE)</f>
        <v>#N/A</v>
      </c>
      <c r="D46" s="1" t="e">
        <f>B45-C45</f>
        <v>#REF!</v>
      </c>
      <c r="E46" s="1" t="e">
        <f>IF(D45&gt;0,"SURPLUS","DEFICIT")</f>
        <v>#VALUE!</v>
      </c>
    </row>
    <row r="48" spans="1:5" x14ac:dyDescent="0.25">
      <c r="A48" s="1" t="s">
        <v>42</v>
      </c>
    </row>
    <row r="49" spans="1:6" x14ac:dyDescent="0.25">
      <c r="A49" s="1" t="s">
        <v>43</v>
      </c>
      <c r="B49" s="1" t="s">
        <v>44</v>
      </c>
      <c r="C49" s="1" t="s">
        <v>45</v>
      </c>
      <c r="D49" s="1" t="s">
        <v>46</v>
      </c>
    </row>
    <row r="50" spans="1:6" x14ac:dyDescent="0.25">
      <c r="A50" s="1" t="s">
        <v>47</v>
      </c>
      <c r="B50" s="1" t="s">
        <v>48</v>
      </c>
      <c r="C50" s="1" t="s">
        <v>49</v>
      </c>
      <c r="D50" s="1" t="s">
        <v>50</v>
      </c>
    </row>
    <row r="51" spans="1:6" x14ac:dyDescent="0.25">
      <c r="A51" s="1" t="s">
        <v>51</v>
      </c>
      <c r="B51" s="1" t="s">
        <v>52</v>
      </c>
      <c r="C51" s="1" t="s">
        <v>53</v>
      </c>
      <c r="D51" s="1" t="s">
        <v>54</v>
      </c>
    </row>
    <row r="52" spans="1:6" x14ac:dyDescent="0.25">
      <c r="A52" s="1" t="s">
        <v>55</v>
      </c>
      <c r="B52" s="1" t="s">
        <v>56</v>
      </c>
      <c r="C52" s="1" t="s">
        <v>56</v>
      </c>
      <c r="D52" s="1" t="s">
        <v>56</v>
      </c>
    </row>
    <row r="54" spans="1:6" x14ac:dyDescent="0.25">
      <c r="A54" s="1" t="s">
        <v>57</v>
      </c>
    </row>
    <row r="55" spans="1:6" x14ac:dyDescent="0.25">
      <c r="A55" s="1" t="s">
        <v>58</v>
      </c>
      <c r="B55" s="1" t="s">
        <v>59</v>
      </c>
      <c r="C55" s="1" t="s">
        <v>60</v>
      </c>
      <c r="D55" s="1" t="s">
        <v>61</v>
      </c>
      <c r="E55" s="1" t="s">
        <v>62</v>
      </c>
      <c r="F55" s="1" t="s">
        <v>63</v>
      </c>
    </row>
    <row r="56" spans="1:6" x14ac:dyDescent="0.25">
      <c r="A56" s="1" t="s">
        <v>64</v>
      </c>
      <c r="B56" s="1">
        <v>0</v>
      </c>
      <c r="C56" s="1">
        <v>0</v>
      </c>
      <c r="D56" s="1">
        <v>0</v>
      </c>
      <c r="E56" s="1">
        <v>9</v>
      </c>
      <c r="F56" s="1" t="e">
        <f>SUM(D43:D45)</f>
        <v>#VALUE!</v>
      </c>
    </row>
    <row r="57" spans="1:6" x14ac:dyDescent="0.25">
      <c r="A57" s="1" t="s">
        <v>65</v>
      </c>
      <c r="B57" s="1">
        <v>2</v>
      </c>
      <c r="C57" s="1">
        <v>2</v>
      </c>
      <c r="D57" s="1">
        <v>2</v>
      </c>
      <c r="E57" s="1">
        <v>9</v>
      </c>
      <c r="F57" s="1" t="e">
        <f>SUM(D43:D45)</f>
        <v>#VALUE!</v>
      </c>
    </row>
    <row r="58" spans="1:6" x14ac:dyDescent="0.25">
      <c r="A58" s="1" t="s">
        <v>66</v>
      </c>
      <c r="B58" s="1">
        <v>1</v>
      </c>
      <c r="C58" s="1">
        <v>3</v>
      </c>
      <c r="D58" s="1">
        <v>0</v>
      </c>
      <c r="E58" s="1">
        <v>9</v>
      </c>
      <c r="F58" s="1" t="e">
        <f>SUM(D43:D45)</f>
        <v>#VALUE!</v>
      </c>
    </row>
    <row r="59" spans="1:6" x14ac:dyDescent="0.25">
      <c r="A59" s="1" t="s">
        <v>67</v>
      </c>
      <c r="B59" s="1">
        <v>1</v>
      </c>
      <c r="C59" s="1">
        <v>0</v>
      </c>
      <c r="D59" s="1">
        <v>3</v>
      </c>
      <c r="E59" s="1">
        <v>9</v>
      </c>
      <c r="F59" s="1" t="e">
        <f>SUM(D43:D45)</f>
        <v>#VALUE!</v>
      </c>
    </row>
    <row r="60" spans="1:6" x14ac:dyDescent="0.25">
      <c r="A60" s="1" t="s">
        <v>68</v>
      </c>
      <c r="B60" s="1">
        <v>5</v>
      </c>
      <c r="C60" s="1">
        <v>5</v>
      </c>
      <c r="D60" s="1">
        <v>5</v>
      </c>
      <c r="E60" s="1">
        <v>9</v>
      </c>
      <c r="F60" s="1" t="e">
        <f>SUM(D43:D45)</f>
        <v>#VALUE!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economy-calculator-fixed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Davion Nguyen</dc:creator>
  <cp:lastModifiedBy>Davion Nguyen</cp:lastModifiedBy>
  <dcterms:created xsi:type="dcterms:W3CDTF">2026-04-22T07:38:37Z</dcterms:created>
  <dcterms:modified xsi:type="dcterms:W3CDTF">2026-04-22T08:26:40Z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f76e0-d66d-4ace-a8e8-fdc545fae579_Enabled">
    <vt:lpwstr>true</vt:lpwstr>
  </property>
  <property fmtid="{D5CDD505-2E9C-101B-9397-08002B2CF9AE}" pid="3" name="MSIP_Label_5c8f76e0-d66d-4ace-a8e8-fdc545fae579_SetDate">
    <vt:lpwstr>2026-04-22T07:40:37Z</vt:lpwstr>
  </property>
  <property fmtid="{D5CDD505-2E9C-101B-9397-08002B2CF9AE}" pid="4" name="MSIP_Label_5c8f76e0-d66d-4ace-a8e8-fdc545fae579_Method">
    <vt:lpwstr>Standard</vt:lpwstr>
  </property>
  <property fmtid="{D5CDD505-2E9C-101B-9397-08002B2CF9AE}" pid="5" name="MSIP_Label_5c8f76e0-d66d-4ace-a8e8-fdc545fae579_Name">
    <vt:lpwstr>Internal</vt:lpwstr>
  </property>
  <property fmtid="{D5CDD505-2E9C-101B-9397-08002B2CF9AE}" pid="6" name="MSIP_Label_5c8f76e0-d66d-4ace-a8e8-fdc545fae579_SiteId">
    <vt:lpwstr>cdc4b90d-7fa9-4a12-8d58-c2872266673c</vt:lpwstr>
  </property>
  <property fmtid="{D5CDD505-2E9C-101B-9397-08002B2CF9AE}" pid="7" name="MSIP_Label_5c8f76e0-d66d-4ace-a8e8-fdc545fae579_ActionId">
    <vt:lpwstr>7afac10b-f520-4c67-abec-41e9582ae7b7</vt:lpwstr>
  </property>
  <property fmtid="{D5CDD505-2E9C-101B-9397-08002B2CF9AE}" pid="8" name="MSIP_Label_5c8f76e0-d66d-4ace-a8e8-fdc545fae579_ContentBits">
    <vt:lpwstr>0</vt:lpwstr>
  </property>
  <property fmtid="{D5CDD505-2E9C-101B-9397-08002B2CF9AE}" pid="9" name="MSIP_Label_5c8f76e0-d66d-4ace-a8e8-fdc545fae579_Tag">
    <vt:lpwstr>10, 3, 0, 1</vt:lpwstr>
  </property>
</Properties>
</file>